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2"/>
    <sheet name="aux1" sheetId="2" state="visible" r:id="rId3"/>
    <sheet name="aux2" sheetId="3" state="visible" r:id="rId4"/>
    <sheet name="Plan1" sheetId="4" state="visible" r:id="rId5"/>
  </sheets>
  <externalReferences>
    <externalReference r:id="rId6"/>
    <externalReference r:id="rId7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<sst xmlns="http://schemas.openxmlformats.org/spreadsheetml/2006/main" count="113" uniqueCount="48">
  <si>
    <t xml:space="preserve">Data Fechamento</t>
  </si>
  <si>
    <t xml:space="preserve">Peso buffet</t>
  </si>
  <si>
    <t xml:space="preserve">Peso sobremesa</t>
  </si>
  <si>
    <t xml:space="preserve">Clientes</t>
  </si>
  <si>
    <t xml:space="preserve">Dinheiro</t>
  </si>
  <si>
    <t xml:space="preserve">Cheques</t>
  </si>
  <si>
    <t xml:space="preserve">Cartões</t>
  </si>
  <si>
    <t xml:space="preserve">Redecard crédito</t>
  </si>
  <si>
    <t xml:space="preserve">Redecard debito</t>
  </si>
  <si>
    <t xml:space="preserve">Cielo Visa Credito</t>
  </si>
  <si>
    <t xml:space="preserve">Cielo Visa Débito</t>
  </si>
  <si>
    <t xml:space="preserve">Tickets</t>
  </si>
  <si>
    <t xml:space="preserve">Tr eletronico</t>
  </si>
  <si>
    <t xml:space="preserve">Planvale</t>
  </si>
  <si>
    <t xml:space="preserve">Alello</t>
  </si>
  <si>
    <t xml:space="preserve">sodexo</t>
  </si>
  <si>
    <t xml:space="preserve">Vr</t>
  </si>
  <si>
    <t xml:space="preserve">Total</t>
  </si>
  <si>
    <t xml:space="preserve">PIX</t>
  </si>
  <si>
    <t xml:space="preserve">conta corrente</t>
  </si>
  <si>
    <t xml:space="preserve">maquininha</t>
  </si>
  <si>
    <t xml:space="preserve">Penduras</t>
  </si>
  <si>
    <t xml:space="preserve">Dia</t>
  </si>
  <si>
    <t xml:space="preserve">Pagas</t>
  </si>
  <si>
    <t xml:space="preserve">Movimento do dia</t>
  </si>
  <si>
    <t xml:space="preserve">Serviço</t>
  </si>
  <si>
    <t xml:space="preserve">Real</t>
  </si>
  <si>
    <t xml:space="preserve">Sistema</t>
  </si>
  <si>
    <t xml:space="preserve">Sangria</t>
  </si>
  <si>
    <t xml:space="preserve"> </t>
  </si>
  <si>
    <t xml:space="preserve">Copiar o fechamento</t>
  </si>
  <si>
    <t xml:space="preserve">Peso Buf.</t>
  </si>
  <si>
    <t xml:space="preserve">Peso Sob.</t>
  </si>
  <si>
    <t xml:space="preserve">Entregas</t>
  </si>
  <si>
    <t xml:space="preserve">MasterCard</t>
  </si>
  <si>
    <t xml:space="preserve">RedeShop</t>
  </si>
  <si>
    <t xml:space="preserve">Visa Cred.</t>
  </si>
  <si>
    <t xml:space="preserve">Visa Deb.</t>
  </si>
  <si>
    <t xml:space="preserve">Cvs/E</t>
  </si>
  <si>
    <t xml:space="preserve">Cvs/S</t>
  </si>
  <si>
    <t xml:space="preserve">Pend.Dia</t>
  </si>
  <si>
    <t xml:space="preserve">Pend.Pg.</t>
  </si>
  <si>
    <t xml:space="preserve">Redecard crédito (amarela)</t>
  </si>
  <si>
    <t xml:space="preserve">Redecard debito (amarela)</t>
  </si>
  <si>
    <t xml:space="preserve">Sodexho</t>
  </si>
  <si>
    <t xml:space="preserve">Contra-vale</t>
  </si>
  <si>
    <t xml:space="preserve">Recebidos</t>
  </si>
  <si>
    <t xml:space="preserve">Emitidos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</si>
</sst>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[$-416]d\-mmm\-yy;@"/>
    <numFmt numFmtId="167" formatCode="ddd"/>
    <numFmt numFmtId="168" formatCode="0.000"/>
    <numFmt numFmtId="169" formatCode="0.0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true" indent="0" shrinkToFit="tru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8EB4E3"/>
        </patternFill>
      </fill>
      <border diagonalUp="false" diagonalDown="false">
        <left/>
        <right/>
        <top/>
        <bottom/>
        <diagonal/>
      </border>
    </dxf>
    <dxf>
      <fill>
        <patternFill>
          <bgColor rgb="FF8EB4E3"/>
        </patternFill>
      </fill>
      <border diagonalUp="false" diagonalDown="false">
        <left/>
        <right/>
        <top/>
        <bottom/>
        <diagonal/>
      </border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Padroeira/Padroeira%20vendas/Movto_cx1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Padroeira/Padroeira%20vendas/Movto_cx2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ráf2"/>
      <sheetName val="Plan1"/>
      <sheetName val="Plan2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lan1"/>
      <sheetName val="Plan2"/>
      <sheetName val="Plan3"/>
    </sheetNames>
    <sheetDataSet>
      <sheetData sheetId="0">
        <row r="6">
          <cell r="DU6">
            <v>317.74</v>
          </cell>
          <cell r="DV6">
            <v>153.6</v>
          </cell>
          <cell r="DW6">
            <v>440.22</v>
          </cell>
          <cell r="DX6">
            <v>478.97</v>
          </cell>
        </row>
        <row r="10">
          <cell r="DU10">
            <v>5941.74</v>
          </cell>
          <cell r="DV10">
            <v>4909.04</v>
          </cell>
          <cell r="DW10">
            <v>6343.73</v>
          </cell>
          <cell r="DX10">
            <v>3408.63</v>
          </cell>
        </row>
        <row r="11">
          <cell r="DU11">
            <v>1750.73</v>
          </cell>
          <cell r="DV11">
            <v>2080.62</v>
          </cell>
          <cell r="DW11">
            <v>2628.98</v>
          </cell>
          <cell r="DX11">
            <v>1933.54</v>
          </cell>
        </row>
        <row r="12">
          <cell r="DU12">
            <v>19.9</v>
          </cell>
        </row>
        <row r="12">
          <cell r="DW12">
            <v>92.01</v>
          </cell>
        </row>
        <row r="13">
          <cell r="DW13">
            <v>189.18</v>
          </cell>
        </row>
        <row r="19">
          <cell r="DU19">
            <v>3354.61</v>
          </cell>
          <cell r="DV19">
            <v>1125.06</v>
          </cell>
          <cell r="DW19">
            <v>1160.6</v>
          </cell>
          <cell r="DX19">
            <v>268.52</v>
          </cell>
        </row>
        <row r="20">
          <cell r="DV20">
            <v>133.17</v>
          </cell>
          <cell r="DW20">
            <v>39.22</v>
          </cell>
          <cell r="DX20">
            <v>56.09</v>
          </cell>
        </row>
        <row r="21">
          <cell r="DU21">
            <v>694.89</v>
          </cell>
          <cell r="DV21">
            <v>1452.37</v>
          </cell>
          <cell r="DW21">
            <v>559.88</v>
          </cell>
          <cell r="DX21">
            <v>190.36</v>
          </cell>
        </row>
        <row r="22">
          <cell r="DU22">
            <v>352.17</v>
          </cell>
          <cell r="DV22">
            <v>659.47</v>
          </cell>
          <cell r="DW22">
            <v>113.77</v>
          </cell>
          <cell r="DX22">
            <v>238.05</v>
          </cell>
        </row>
        <row r="23">
          <cell r="DU23">
            <v>58.84</v>
          </cell>
        </row>
        <row r="23">
          <cell r="DW23">
            <v>78.37</v>
          </cell>
          <cell r="DX23">
            <v>178.52</v>
          </cell>
        </row>
        <row r="27">
          <cell r="DU27">
            <v>659.27</v>
          </cell>
          <cell r="DV27">
            <v>591.76</v>
          </cell>
          <cell r="DW27">
            <v>706.72</v>
          </cell>
          <cell r="DX27">
            <v>220.36</v>
          </cell>
        </row>
        <row r="32">
          <cell r="DU32">
            <v>198.46</v>
          </cell>
          <cell r="DV32">
            <v>233.15</v>
          </cell>
          <cell r="DW32">
            <v>294.81</v>
          </cell>
          <cell r="DX32">
            <v>266.22</v>
          </cell>
        </row>
        <row r="33">
          <cell r="DU33">
            <v>558.95</v>
          </cell>
        </row>
        <row r="33">
          <cell r="DW33">
            <v>119.67</v>
          </cell>
        </row>
        <row r="37">
          <cell r="DU37">
            <v>12789.4</v>
          </cell>
          <cell r="DV37">
            <v>11338.24</v>
          </cell>
          <cell r="DW37">
            <v>12527.82</v>
          </cell>
          <cell r="DX37">
            <v>7239.26</v>
          </cell>
        </row>
        <row r="38">
          <cell r="DU38">
            <v>12781.86</v>
          </cell>
          <cell r="DV38">
            <v>11330.57</v>
          </cell>
          <cell r="DW38">
            <v>12534.93</v>
          </cell>
          <cell r="DX38">
            <v>7258.04</v>
          </cell>
        </row>
        <row r="40">
          <cell r="DU40">
            <v>7.53999999999724</v>
          </cell>
          <cell r="DV40">
            <v>7.67000000000189</v>
          </cell>
          <cell r="DW40">
            <v>-7.11000000000058</v>
          </cell>
          <cell r="DX40">
            <v>-18.7800000000007</v>
          </cell>
        </row>
      </sheetData>
      <sheetData sheetId="1"/>
      <sheetData sheetId="2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E40" activeCellId="0" sqref="E40"/>
    </sheetView>
  </sheetViews>
  <sheetFormatPr defaultColWidth="17.5703125" defaultRowHeight="15" zeroHeight="false" outlineLevelRow="0" outlineLevelCol="0"/>
  <cols>
    <col collapsed="false" customWidth="false" hidden="false" outlineLevel="0" max="1" min="1" style="1" width="17.57"/>
    <col collapsed="false" customWidth="true" hidden="false" outlineLevel="0" max="5" min="2" style="1" width="17.29"/>
    <col collapsed="false" customWidth="false" hidden="false" outlineLevel="0" max="16384" min="6" style="1" width="17.57"/>
  </cols>
  <sheetData>
    <row r="1" s="2" customFormat="true" ht="29.25" hidden="false" customHeight="true" outlineLevel="0" collapsed="false">
      <c r="A1" s="2" t="s">
        <v>0</v>
      </c>
      <c r="B1" s="2" t="n">
        <v>46174</v>
      </c>
      <c r="C1" s="2" t="n">
        <v>46175</v>
      </c>
      <c r="D1" s="2" t="n">
        <v>46176</v>
      </c>
      <c r="E1" s="2" t="n">
        <v>46178</v>
      </c>
    </row>
    <row r="2" s="3" customFormat="true" ht="15" hidden="false" customHeight="false" outlineLevel="0" collapsed="false">
      <c r="B2" s="3" t="n">
        <f aca="false">B1</f>
        <v>46174</v>
      </c>
      <c r="C2" s="3" t="n">
        <f aca="false">C1</f>
        <v>46175</v>
      </c>
      <c r="D2" s="3" t="n">
        <f aca="false">D1</f>
        <v>46176</v>
      </c>
      <c r="E2" s="3" t="n">
        <f aca="false">E1</f>
        <v>46178</v>
      </c>
    </row>
    <row r="3" s="4" customFormat="true" ht="15" hidden="false" customHeight="false" outlineLevel="0" collapsed="false">
      <c r="A3" s="4" t="s">
        <v>1</v>
      </c>
      <c r="B3" s="4" t="n">
        <v>114.758</v>
      </c>
      <c r="C3" s="4" t="n">
        <v>100.508</v>
      </c>
      <c r="D3" s="4" t="n">
        <v>108.407</v>
      </c>
      <c r="E3" s="4" t="n">
        <v>60.4</v>
      </c>
    </row>
    <row r="4" s="4" customFormat="true" ht="15" hidden="false" customHeight="false" outlineLevel="0" collapsed="false">
      <c r="A4" s="4" t="s">
        <v>2</v>
      </c>
      <c r="B4" s="4" t="n">
        <v>7.861</v>
      </c>
      <c r="C4" s="4" t="n">
        <v>7.997</v>
      </c>
      <c r="D4" s="4" t="n">
        <v>13.464</v>
      </c>
      <c r="E4" s="4" t="n">
        <v>8.105</v>
      </c>
    </row>
    <row r="5" s="5" customFormat="true" ht="12.75" hidden="false" customHeight="false" outlineLevel="0" collapsed="false">
      <c r="A5" s="5" t="s">
        <v>3</v>
      </c>
      <c r="B5" s="5" t="n">
        <v>222</v>
      </c>
      <c r="C5" s="5" t="n">
        <v>190</v>
      </c>
      <c r="D5" s="5" t="n">
        <v>199</v>
      </c>
      <c r="E5" s="5" t="n">
        <v>104</v>
      </c>
    </row>
    <row r="6" customFormat="false" ht="13.8" hidden="false" customHeight="false" outlineLevel="0" collapsed="false">
      <c r="A6" s="1" t="s">
        <v>4</v>
      </c>
      <c r="B6" s="1" t="n">
        <f aca="false">[1]Plan1!DU6+[2]Plan1!DU6</f>
        <v>317.74</v>
      </c>
      <c r="C6" s="1" t="n">
        <f aca="false">[1]Plan1!DV6+[2]Plan1!DV6</f>
        <v>153.6</v>
      </c>
      <c r="D6" s="1" t="n">
        <f aca="false">[1]Plan1!DW6+[2]Plan1!DW6</f>
        <v>440.22</v>
      </c>
      <c r="E6" s="1" t="n">
        <f aca="false">[1]Plan1!DX6+[2]Plan1!DX6</f>
        <v>478.97</v>
      </c>
    </row>
    <row r="7" customFormat="false" ht="13.8" hidden="false" customHeight="false" outlineLevel="0" collapsed="false">
      <c r="A7" s="1" t="s">
        <v>5</v>
      </c>
      <c r="B7" s="1" t="n">
        <f aca="false">[1]Plan1!DU7+[2]Plan1!DU7</f>
        <v>0</v>
      </c>
      <c r="C7" s="1" t="n">
        <f aca="false">[1]Plan1!DV7+[2]Plan1!DV7</f>
        <v>0</v>
      </c>
      <c r="D7" s="1" t="n">
        <f aca="false">[1]Plan1!DW7+[2]Plan1!DW7</f>
        <v>0</v>
      </c>
      <c r="E7" s="1" t="n">
        <f aca="false">[1]Plan1!DX7+[2]Plan1!DX7</f>
        <v>0</v>
      </c>
    </row>
    <row r="8" s="6" customFormat="true" ht="15" hidden="false" customHeight="false" outlineLevel="0" collapsed="false">
      <c r="A8" s="6" t="s">
        <v>6</v>
      </c>
    </row>
    <row r="9" s="6" customFormat="true" ht="15" hidden="false" customHeight="false" outlineLevel="0" collapsed="false"/>
    <row r="10" customFormat="false" ht="13.8" hidden="false" customHeight="false" outlineLevel="0" collapsed="false">
      <c r="A10" s="1" t="s">
        <v>7</v>
      </c>
      <c r="B10" s="1" t="n">
        <f aca="false">[1]Plan1!DU10+[2]Plan1!DU10</f>
        <v>5941.74</v>
      </c>
      <c r="C10" s="1" t="n">
        <f aca="false">[1]Plan1!DV10+[2]Plan1!DV10</f>
        <v>4909.04</v>
      </c>
      <c r="D10" s="1" t="n">
        <f aca="false">[1]Plan1!DW10+[2]Plan1!DW10</f>
        <v>6343.73</v>
      </c>
      <c r="E10" s="1" t="n">
        <f aca="false">[1]Plan1!DX10+[2]Plan1!DX10</f>
        <v>3408.63</v>
      </c>
    </row>
    <row r="11" customFormat="false" ht="13.8" hidden="false" customHeight="false" outlineLevel="0" collapsed="false">
      <c r="A11" s="1" t="s">
        <v>8</v>
      </c>
      <c r="B11" s="1" t="n">
        <f aca="false">[1]Plan1!DU11+[2]Plan1!DU11</f>
        <v>1750.73</v>
      </c>
      <c r="C11" s="1" t="n">
        <f aca="false">[1]Plan1!DV11+[2]Plan1!DV11</f>
        <v>2080.62</v>
      </c>
      <c r="D11" s="1" t="n">
        <f aca="false">[1]Plan1!DW11+[2]Plan1!DW11</f>
        <v>2628.98</v>
      </c>
      <c r="E11" s="1" t="n">
        <f aca="false">[1]Plan1!DX11+[2]Plan1!DX11</f>
        <v>1933.54</v>
      </c>
    </row>
    <row r="12" customFormat="false" ht="13.8" hidden="false" customHeight="false" outlineLevel="0" collapsed="false">
      <c r="A12" s="1" t="s">
        <v>9</v>
      </c>
      <c r="B12" s="1" t="n">
        <f aca="false">[1]Plan1!DU12+[2]Plan1!DU12</f>
        <v>19.9</v>
      </c>
      <c r="C12" s="1" t="n">
        <f aca="false">[1]Plan1!DV12+[2]Plan1!DV12</f>
        <v>0</v>
      </c>
      <c r="D12" s="1" t="n">
        <f aca="false">[1]Plan1!DW12+[2]Plan1!DW12</f>
        <v>92.01</v>
      </c>
      <c r="E12" s="1" t="n">
        <f aca="false">[1]Plan1!DX12+[2]Plan1!DX12</f>
        <v>0</v>
      </c>
    </row>
    <row r="13" customFormat="false" ht="13.8" hidden="false" customHeight="false" outlineLevel="0" collapsed="false">
      <c r="A13" s="1" t="s">
        <v>10</v>
      </c>
      <c r="B13" s="1" t="n">
        <f aca="false">[1]Plan1!DU13+[2]Plan1!DU13</f>
        <v>0</v>
      </c>
      <c r="C13" s="1" t="n">
        <f aca="false">[1]Plan1!DV13+[2]Plan1!DV13</f>
        <v>0</v>
      </c>
      <c r="D13" s="1" t="n">
        <f aca="false">[1]Plan1!DW13+[2]Plan1!DW13</f>
        <v>189.18</v>
      </c>
      <c r="E13" s="1" t="n">
        <f aca="false">[1]Plan1!DX13+[2]Plan1!DX13</f>
        <v>0</v>
      </c>
    </row>
    <row r="14" customFormat="false" ht="15" hidden="false" customHeight="false" outlineLevel="0" collapsed="false">
      <c r="B14" s="1" t="n">
        <f aca="false">SUM(B10:B13)</f>
        <v>7712.37</v>
      </c>
      <c r="C14" s="1" t="n">
        <f aca="false">SUM(C10:C13)</f>
        <v>6989.66</v>
      </c>
      <c r="D14" s="1" t="n">
        <f aca="false">SUM(D10:D13)</f>
        <v>9253.9</v>
      </c>
      <c r="E14" s="1" t="n">
        <f aca="false">SUM(E10:E13)</f>
        <v>5342.17</v>
      </c>
    </row>
    <row r="15" s="6" customFormat="true" ht="15" hidden="false" customHeight="false" outlineLevel="0" collapsed="false"/>
    <row r="16" s="6" customFormat="true" ht="15" hidden="false" customHeight="false" outlineLevel="0" collapsed="false"/>
    <row r="17" s="6" customFormat="true" ht="15" hidden="false" customHeight="false" outlineLevel="0" collapsed="false">
      <c r="A17" s="6" t="s">
        <v>11</v>
      </c>
    </row>
    <row r="18" s="6" customFormat="true" ht="15" hidden="false" customHeight="false" outlineLevel="0" collapsed="false"/>
    <row r="19" customFormat="false" ht="13.8" hidden="false" customHeight="false" outlineLevel="0" collapsed="false">
      <c r="A19" s="1" t="s">
        <v>12</v>
      </c>
      <c r="B19" s="1" t="n">
        <f aca="false">[1]Plan1!DU19+[2]Plan1!DU19</f>
        <v>3354.61</v>
      </c>
      <c r="C19" s="1" t="n">
        <f aca="false">[1]Plan1!DV19+[2]Plan1!DV19</f>
        <v>1125.06</v>
      </c>
      <c r="D19" s="1" t="n">
        <f aca="false">[1]Plan1!DW19+[2]Plan1!DW19</f>
        <v>1160.6</v>
      </c>
      <c r="E19" s="1" t="n">
        <f aca="false">[1]Plan1!DX19+[2]Plan1!DX19</f>
        <v>268.52</v>
      </c>
    </row>
    <row r="20" customFormat="false" ht="13.8" hidden="false" customHeight="false" outlineLevel="0" collapsed="false">
      <c r="A20" s="1" t="s">
        <v>13</v>
      </c>
      <c r="B20" s="1" t="n">
        <f aca="false">[1]Plan1!DU20+[2]Plan1!DU20</f>
        <v>0</v>
      </c>
      <c r="C20" s="1" t="n">
        <f aca="false">[1]Plan1!DV20+[2]Plan1!DV20</f>
        <v>133.17</v>
      </c>
      <c r="D20" s="1" t="n">
        <f aca="false">[1]Plan1!DW20+[2]Plan1!DW20</f>
        <v>39.22</v>
      </c>
      <c r="E20" s="1" t="n">
        <f aca="false">[1]Plan1!DX20+[2]Plan1!DX20</f>
        <v>56.09</v>
      </c>
    </row>
    <row r="21" customFormat="false" ht="13.8" hidden="false" customHeight="false" outlineLevel="0" collapsed="false">
      <c r="A21" s="1" t="s">
        <v>14</v>
      </c>
      <c r="B21" s="1" t="n">
        <f aca="false">[1]Plan1!DU21+[2]Plan1!DU21</f>
        <v>694.89</v>
      </c>
      <c r="C21" s="1" t="n">
        <f aca="false">[1]Plan1!DV21+[2]Plan1!DV21</f>
        <v>1452.37</v>
      </c>
      <c r="D21" s="1" t="n">
        <f aca="false">[1]Plan1!DW21+[2]Plan1!DW21</f>
        <v>559.88</v>
      </c>
      <c r="E21" s="1" t="n">
        <f aca="false">[1]Plan1!DX21+[2]Plan1!DX21</f>
        <v>190.36</v>
      </c>
    </row>
    <row r="22" customFormat="false" ht="13.8" hidden="false" customHeight="false" outlineLevel="0" collapsed="false">
      <c r="A22" s="1" t="s">
        <v>15</v>
      </c>
      <c r="B22" s="1" t="n">
        <f aca="false">[1]Plan1!DU22+[2]Plan1!DU22</f>
        <v>352.17</v>
      </c>
      <c r="C22" s="1" t="n">
        <f aca="false">[1]Plan1!DV22+[2]Plan1!DV22</f>
        <v>659.47</v>
      </c>
      <c r="D22" s="1" t="n">
        <f aca="false">[1]Plan1!DW22+[2]Plan1!DW22</f>
        <v>113.77</v>
      </c>
      <c r="E22" s="1" t="n">
        <f aca="false">[1]Plan1!DX22+[2]Plan1!DX22</f>
        <v>238.05</v>
      </c>
    </row>
    <row r="23" customFormat="false" ht="13.8" hidden="false" customHeight="false" outlineLevel="0" collapsed="false">
      <c r="A23" s="1" t="s">
        <v>16</v>
      </c>
      <c r="B23" s="1" t="n">
        <f aca="false">[1]Plan1!DU23+[2]Plan1!DU23</f>
        <v>58.84</v>
      </c>
      <c r="C23" s="1" t="n">
        <f aca="false">[1]Plan1!DV23+[2]Plan1!DV23</f>
        <v>0</v>
      </c>
      <c r="D23" s="1" t="n">
        <f aca="false">[1]Plan1!DW23+[2]Plan1!DW23</f>
        <v>78.37</v>
      </c>
      <c r="E23" s="1" t="n">
        <f aca="false">[1]Plan1!DX23+[2]Plan1!DX23</f>
        <v>178.52</v>
      </c>
    </row>
    <row r="24" customFormat="false" ht="15" hidden="false" customHeight="false" outlineLevel="0" collapsed="false">
      <c r="A24" s="1" t="s">
        <v>17</v>
      </c>
      <c r="B24" s="1" t="n">
        <f aca="false">SUM(B19:B23)</f>
        <v>4460.51</v>
      </c>
      <c r="C24" s="1" t="n">
        <f aca="false">SUM(C19:C23)</f>
        <v>3370.07</v>
      </c>
      <c r="D24" s="1" t="n">
        <f aca="false">SUM(D19:D23)</f>
        <v>1951.84</v>
      </c>
      <c r="E24" s="1" t="n">
        <f aca="false">SUM(E19:E23)</f>
        <v>931.54</v>
      </c>
    </row>
    <row r="25" s="6" customFormat="true" ht="15" hidden="false" customHeight="false" outlineLevel="0" collapsed="false"/>
    <row r="26" s="6" customFormat="true" ht="15" hidden="false" customHeight="false" outlineLevel="0" collapsed="false">
      <c r="A26" s="6" t="s">
        <v>18</v>
      </c>
    </row>
    <row r="27" customFormat="false" ht="13.8" hidden="false" customHeight="false" outlineLevel="0" collapsed="false">
      <c r="A27" s="1" t="s">
        <v>19</v>
      </c>
      <c r="B27" s="1" t="n">
        <f aca="false">[1]Plan1!DU27+[2]Plan1!DU27</f>
        <v>659.27</v>
      </c>
      <c r="C27" s="1" t="n">
        <f aca="false">[1]Plan1!DV27+[2]Plan1!DV27</f>
        <v>591.76</v>
      </c>
      <c r="D27" s="1" t="n">
        <f aca="false">[1]Plan1!DW27+[2]Plan1!DW27</f>
        <v>706.72</v>
      </c>
      <c r="E27" s="1" t="n">
        <f aca="false">[1]Plan1!DX27+[2]Plan1!DX27</f>
        <v>220.36</v>
      </c>
    </row>
    <row r="28" customFormat="false" ht="13.8" hidden="false" customHeight="false" outlineLevel="0" collapsed="false">
      <c r="A28" s="1" t="s">
        <v>20</v>
      </c>
      <c r="B28" s="1" t="n">
        <f aca="false">[1]Plan1!DU28+[2]Plan1!DU28</f>
        <v>0</v>
      </c>
      <c r="C28" s="1" t="n">
        <f aca="false">[1]Plan1!DV28+[2]Plan1!DV28</f>
        <v>0</v>
      </c>
      <c r="D28" s="1" t="n">
        <f aca="false">[1]Plan1!DW28+[2]Plan1!DW28</f>
        <v>0</v>
      </c>
      <c r="E28" s="1" t="n">
        <f aca="false">[1]Plan1!DX28+[2]Plan1!DX28</f>
        <v>0</v>
      </c>
    </row>
    <row r="29" s="6" customFormat="true" ht="15" hidden="false" customHeight="false" outlineLevel="0" collapsed="false"/>
    <row r="30" s="6" customFormat="true" ht="15" hidden="false" customHeight="false" outlineLevel="0" collapsed="false">
      <c r="A30" s="6" t="s">
        <v>21</v>
      </c>
    </row>
    <row r="31" s="6" customFormat="true" ht="15" hidden="false" customHeight="false" outlineLevel="0" collapsed="false"/>
    <row r="32" customFormat="false" ht="13.8" hidden="false" customHeight="false" outlineLevel="0" collapsed="false">
      <c r="A32" s="1" t="s">
        <v>22</v>
      </c>
      <c r="B32" s="1" t="n">
        <f aca="false">[1]Plan1!DU32+[2]Plan1!DU32</f>
        <v>198.46</v>
      </c>
      <c r="C32" s="1" t="n">
        <f aca="false">[1]Plan1!DV32+[2]Plan1!DV32</f>
        <v>233.15</v>
      </c>
      <c r="D32" s="1" t="n">
        <f aca="false">[1]Plan1!DW32+[2]Plan1!DW32</f>
        <v>294.81</v>
      </c>
      <c r="E32" s="1" t="n">
        <f aca="false">[1]Plan1!DX32+[2]Plan1!DX32</f>
        <v>266.22</v>
      </c>
    </row>
    <row r="33" customFormat="false" ht="13.8" hidden="false" customHeight="false" outlineLevel="0" collapsed="false">
      <c r="A33" s="1" t="s">
        <v>23</v>
      </c>
      <c r="B33" s="1" t="n">
        <f aca="false">[1]Plan1!DU33+[2]Plan1!DU33</f>
        <v>558.95</v>
      </c>
      <c r="C33" s="1" t="n">
        <f aca="false">[1]Plan1!DV33+[2]Plan1!DV33</f>
        <v>0</v>
      </c>
      <c r="D33" s="1" t="n">
        <f aca="false">[1]Plan1!DW33+[2]Plan1!DW33</f>
        <v>119.67</v>
      </c>
      <c r="E33" s="1" t="n">
        <f aca="false">[1]Plan1!DX33+[2]Plan1!DX33</f>
        <v>0</v>
      </c>
    </row>
    <row r="34" s="6" customFormat="true" ht="15" hidden="false" customHeight="false" outlineLevel="0" collapsed="false"/>
    <row r="35" s="6" customFormat="true" ht="15" hidden="false" customHeight="false" outlineLevel="0" collapsed="false">
      <c r="A35" s="6" t="s">
        <v>24</v>
      </c>
    </row>
    <row r="36" customFormat="false" ht="13.8" hidden="false" customHeight="false" outlineLevel="0" collapsed="false">
      <c r="A36" s="1" t="s">
        <v>25</v>
      </c>
      <c r="B36" s="1" t="n">
        <f aca="false">[1]Plan1!DU36+[2]Plan1!DU36</f>
        <v>0</v>
      </c>
      <c r="C36" s="1" t="n">
        <f aca="false">[1]Plan1!DV36+[2]Plan1!DV36</f>
        <v>0</v>
      </c>
      <c r="D36" s="1" t="n">
        <f aca="false">[1]Plan1!DW36+[2]Plan1!DW36</f>
        <v>0</v>
      </c>
      <c r="E36" s="1" t="n">
        <f aca="false">[1]Plan1!DX36+[2]Plan1!DX36</f>
        <v>0</v>
      </c>
    </row>
    <row r="37" customFormat="false" ht="13.8" hidden="false" customHeight="false" outlineLevel="0" collapsed="false">
      <c r="A37" s="1" t="s">
        <v>26</v>
      </c>
      <c r="B37" s="1" t="n">
        <f aca="false">[1]Plan1!DU37+[2]Plan1!DU37</f>
        <v>12789.4</v>
      </c>
      <c r="C37" s="1" t="n">
        <f aca="false">[1]Plan1!DV37+[2]Plan1!DV37</f>
        <v>11338.24</v>
      </c>
      <c r="D37" s="1" t="n">
        <f aca="false">[1]Plan1!DW37+[2]Plan1!DW37</f>
        <v>12527.82</v>
      </c>
      <c r="E37" s="1" t="n">
        <f aca="false">[1]Plan1!DX37+[2]Plan1!DX37</f>
        <v>7239.26</v>
      </c>
    </row>
    <row r="38" customFormat="false" ht="13.8" hidden="false" customHeight="false" outlineLevel="0" collapsed="false">
      <c r="A38" s="1" t="s">
        <v>27</v>
      </c>
      <c r="B38" s="1" t="n">
        <f aca="false">[1]Plan1!DU38+[2]Plan1!DU38</f>
        <v>12781.86</v>
      </c>
      <c r="C38" s="1" t="n">
        <f aca="false">[1]Plan1!DV38+[2]Plan1!DV38</f>
        <v>11330.57</v>
      </c>
      <c r="D38" s="1" t="n">
        <f aca="false">[1]Plan1!DW38+[2]Plan1!DW38</f>
        <v>12534.93</v>
      </c>
      <c r="E38" s="1" t="n">
        <f aca="false">[1]Plan1!DX38+[2]Plan1!DX38</f>
        <v>7258.04</v>
      </c>
    </row>
    <row r="39" s="6" customFormat="true" ht="15" hidden="false" customHeight="false" outlineLevel="0" collapsed="false"/>
    <row r="40" s="7" customFormat="true" ht="13.8" hidden="false" customHeight="false" outlineLevel="0" collapsed="false">
      <c r="B40" s="7" t="n">
        <f aca="false">[1]Plan1!DU40+[2]Plan1!DU40</f>
        <v>7.53999999999724</v>
      </c>
      <c r="C40" s="7" t="n">
        <f aca="false">[1]Plan1!DV40+[2]Plan1!DV40</f>
        <v>7.67000000000189</v>
      </c>
      <c r="D40" s="7" t="n">
        <f aca="false">[1]Plan1!DW40+[2]Plan1!DW40</f>
        <v>-7.11000000000058</v>
      </c>
      <c r="E40" s="7" t="n">
        <f aca="false">[1]Plan1!DX40+[2]Plan1!DX40</f>
        <v>-18.7800000000007</v>
      </c>
    </row>
    <row r="42" s="6" customFormat="true" ht="15" hidden="false" customHeight="false" outlineLevel="0" collapsed="false">
      <c r="A42" s="6" t="s">
        <v>28</v>
      </c>
      <c r="B42" s="6" t="n">
        <v>250</v>
      </c>
      <c r="C42" s="6" t="n">
        <v>200</v>
      </c>
      <c r="D42" s="6" t="n">
        <v>500</v>
      </c>
      <c r="E42" s="6" t="n">
        <v>400</v>
      </c>
    </row>
    <row r="43" customFormat="false" ht="15" hidden="false" customHeight="true" outlineLevel="0" collapsed="false">
      <c r="B43" s="1" t="s">
        <v>29</v>
      </c>
      <c r="C43" s="1" t="s">
        <v>29</v>
      </c>
      <c r="D43" s="1" t="s">
        <v>29</v>
      </c>
      <c r="E43" s="1" t="s">
        <v>29</v>
      </c>
    </row>
  </sheetData>
  <conditionalFormatting sqref="A1:XFD42">
    <cfRule type="expression" priority="2" aboveAverage="0" equalAverage="0" bottom="0" percent="0" rank="0" text="" dxfId="0">
      <formula>A$1=TODAY()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R43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C2" activeCellId="0" sqref="C2"/>
    </sheetView>
  </sheetViews>
  <sheetFormatPr defaultColWidth="8.6796875" defaultRowHeight="15" zeroHeight="false" outlineLevelRow="0" outlineLevelCol="0"/>
  <cols>
    <col collapsed="false" customWidth="true" hidden="true" outlineLevel="0" max="1" min="1" style="8" width="39.29"/>
    <col collapsed="false" customWidth="true" hidden="false" outlineLevel="0" max="2" min="2" style="1" width="17.42"/>
    <col collapsed="false" customWidth="true" hidden="false" outlineLevel="0" max="4" min="4" style="8" width="9.57"/>
  </cols>
  <sheetData>
    <row r="1" s="13" customFormat="true" ht="30" hidden="false" customHeight="true" outlineLevel="0" collapsed="false">
      <c r="A1" s="9" t="s">
        <v>30</v>
      </c>
      <c r="B1" s="2" t="n">
        <v>46175</v>
      </c>
      <c r="C1" s="10" t="s">
        <v>31</v>
      </c>
      <c r="D1" s="11" t="s">
        <v>32</v>
      </c>
      <c r="E1" s="12" t="s">
        <v>33</v>
      </c>
      <c r="F1" s="12" t="s">
        <v>4</v>
      </c>
      <c r="G1" s="12" t="s">
        <v>34</v>
      </c>
      <c r="H1" s="12" t="s">
        <v>35</v>
      </c>
      <c r="I1" s="12" t="s">
        <v>36</v>
      </c>
      <c r="J1" s="12" t="s">
        <v>37</v>
      </c>
      <c r="K1" s="12" t="s">
        <v>5</v>
      </c>
      <c r="L1" s="12" t="s">
        <v>11</v>
      </c>
      <c r="M1" s="12" t="s">
        <v>38</v>
      </c>
      <c r="N1" s="12" t="s">
        <v>39</v>
      </c>
      <c r="O1" s="12" t="s">
        <v>40</v>
      </c>
      <c r="P1" s="12" t="s">
        <v>41</v>
      </c>
      <c r="Q1" s="12" t="s">
        <v>25</v>
      </c>
      <c r="R1" s="12"/>
    </row>
    <row r="2" customFormat="false" ht="15" hidden="false" customHeight="false" outlineLevel="0" collapsed="false">
      <c r="A2" s="14"/>
      <c r="B2" s="3" t="n">
        <v>46175</v>
      </c>
      <c r="C2" s="15" t="n">
        <f aca="false">B3</f>
        <v>100.508</v>
      </c>
      <c r="D2" s="15" t="n">
        <f aca="false">B4</f>
        <v>7.997</v>
      </c>
      <c r="F2" s="16" t="n">
        <f aca="false">B6</f>
        <v>153.6</v>
      </c>
      <c r="G2" s="16" t="n">
        <f aca="false">B10</f>
        <v>4909.04</v>
      </c>
      <c r="H2" s="16" t="n">
        <f aca="false">B11</f>
        <v>2080.62</v>
      </c>
      <c r="I2" s="16" t="n">
        <f aca="false">B12</f>
        <v>0</v>
      </c>
      <c r="J2" s="16" t="n">
        <f aca="false">B13</f>
        <v>0</v>
      </c>
      <c r="K2" s="16" t="n">
        <f aca="false">B7</f>
        <v>0</v>
      </c>
      <c r="L2" s="17" t="n">
        <f aca="false">B24</f>
        <v>3370.07</v>
      </c>
      <c r="M2" s="16" t="n">
        <f aca="false">B27</f>
        <v>591.76</v>
      </c>
      <c r="N2" s="16" t="n">
        <f aca="false">B28</f>
        <v>0</v>
      </c>
      <c r="O2" s="16" t="n">
        <f aca="false">B32</f>
        <v>233.15</v>
      </c>
      <c r="P2" s="16" t="n">
        <f aca="false">B33</f>
        <v>0</v>
      </c>
      <c r="Q2" s="16" t="n">
        <f aca="false">B36</f>
        <v>0</v>
      </c>
    </row>
    <row r="3" customFormat="false" ht="15" hidden="false" customHeight="false" outlineLevel="0" collapsed="false">
      <c r="A3" s="4" t="s">
        <v>1</v>
      </c>
      <c r="B3" s="4" t="n">
        <v>100.508</v>
      </c>
    </row>
    <row r="4" customFormat="false" ht="15" hidden="false" customHeight="false" outlineLevel="0" collapsed="false">
      <c r="A4" s="4" t="s">
        <v>2</v>
      </c>
      <c r="B4" s="4" t="n">
        <v>7.997</v>
      </c>
    </row>
    <row r="5" customFormat="false" ht="15" hidden="false" customHeight="false" outlineLevel="0" collapsed="false">
      <c r="A5" s="6"/>
      <c r="B5" s="5" t="n">
        <v>190</v>
      </c>
    </row>
    <row r="6" customFormat="false" ht="15" hidden="false" customHeight="false" outlineLevel="0" collapsed="false">
      <c r="A6" s="18" t="s">
        <v>4</v>
      </c>
      <c r="B6" s="1" t="n">
        <v>153.6</v>
      </c>
    </row>
    <row r="7" customFormat="false" ht="15" hidden="false" customHeight="false" outlineLevel="0" collapsed="false">
      <c r="A7" s="18" t="s">
        <v>5</v>
      </c>
      <c r="B7" s="1" t="n">
        <v>0</v>
      </c>
      <c r="Q7" s="16"/>
    </row>
    <row r="8" customFormat="false" ht="15" hidden="false" customHeight="false" outlineLevel="0" collapsed="false">
      <c r="A8" s="18" t="s">
        <v>6</v>
      </c>
      <c r="B8" s="6"/>
      <c r="Q8" s="16"/>
    </row>
    <row r="9" customFormat="false" ht="15" hidden="false" customHeight="false" outlineLevel="0" collapsed="false">
      <c r="A9" s="18"/>
      <c r="B9" s="6"/>
      <c r="Q9" s="16"/>
    </row>
    <row r="10" customFormat="false" ht="15" hidden="false" customHeight="false" outlineLevel="0" collapsed="false">
      <c r="A10" s="6" t="s">
        <v>42</v>
      </c>
      <c r="B10" s="1" t="n">
        <v>4909.04</v>
      </c>
      <c r="Q10" s="16"/>
    </row>
    <row r="11" customFormat="false" ht="15" hidden="false" customHeight="false" outlineLevel="0" collapsed="false">
      <c r="A11" s="6" t="s">
        <v>43</v>
      </c>
      <c r="B11" s="1" t="n">
        <v>2080.62</v>
      </c>
    </row>
    <row r="12" customFormat="false" ht="15" hidden="false" customHeight="false" outlineLevel="0" collapsed="false">
      <c r="A12" s="6" t="s">
        <v>9</v>
      </c>
      <c r="B12" s="1" t="n">
        <v>0</v>
      </c>
    </row>
    <row r="13" customFormat="false" ht="15" hidden="false" customHeight="false" outlineLevel="0" collapsed="false">
      <c r="A13" s="6" t="s">
        <v>10</v>
      </c>
      <c r="B13" s="1" t="n">
        <v>0</v>
      </c>
    </row>
    <row r="14" customFormat="false" ht="15" hidden="false" customHeight="false" outlineLevel="0" collapsed="false">
      <c r="A14" s="6"/>
      <c r="B14" s="1" t="n">
        <v>6989.66</v>
      </c>
    </row>
    <row r="15" customFormat="false" ht="15" hidden="false" customHeight="false" outlineLevel="0" collapsed="false">
      <c r="A15" s="18"/>
      <c r="B15" s="6"/>
    </row>
    <row r="16" customFormat="false" ht="15" hidden="false" customHeight="false" outlineLevel="0" collapsed="false">
      <c r="A16" s="18"/>
      <c r="B16" s="6"/>
    </row>
    <row r="17" customFormat="false" ht="15" hidden="false" customHeight="false" outlineLevel="0" collapsed="false">
      <c r="A17" s="18" t="s">
        <v>11</v>
      </c>
      <c r="B17" s="6"/>
    </row>
    <row r="18" customFormat="false" ht="15" hidden="false" customHeight="false" outlineLevel="0" collapsed="false">
      <c r="A18" s="18"/>
      <c r="B18" s="6"/>
    </row>
    <row r="19" customFormat="false" ht="15" hidden="false" customHeight="false" outlineLevel="0" collapsed="false">
      <c r="A19" s="6" t="s">
        <v>12</v>
      </c>
      <c r="B19" s="1" t="n">
        <v>1125.06</v>
      </c>
    </row>
    <row r="20" customFormat="false" ht="15" hidden="false" customHeight="false" outlineLevel="0" collapsed="false">
      <c r="A20" s="6" t="s">
        <v>13</v>
      </c>
      <c r="B20" s="1" t="n">
        <v>133.17</v>
      </c>
    </row>
    <row r="21" customFormat="false" ht="15" hidden="false" customHeight="false" outlineLevel="0" collapsed="false">
      <c r="A21" s="6" t="s">
        <v>14</v>
      </c>
      <c r="B21" s="1" t="n">
        <v>1452.37</v>
      </c>
    </row>
    <row r="22" customFormat="false" ht="15" hidden="false" customHeight="false" outlineLevel="0" collapsed="false">
      <c r="A22" s="6" t="s">
        <v>44</v>
      </c>
      <c r="B22" s="1" t="n">
        <v>659.47</v>
      </c>
    </row>
    <row r="23" customFormat="false" ht="15" hidden="false" customHeight="false" outlineLevel="0" collapsed="false">
      <c r="A23" s="6" t="s">
        <v>16</v>
      </c>
      <c r="B23" s="1" t="n">
        <v>0</v>
      </c>
    </row>
    <row r="24" customFormat="false" ht="15" hidden="false" customHeight="false" outlineLevel="0" collapsed="false">
      <c r="A24" s="19" t="s">
        <v>17</v>
      </c>
      <c r="B24" s="1" t="n">
        <v>3370.07</v>
      </c>
    </row>
    <row r="25" customFormat="false" ht="15" hidden="false" customHeight="false" outlineLevel="0" collapsed="false">
      <c r="A25" s="19"/>
      <c r="B25" s="6"/>
    </row>
    <row r="26" customFormat="false" ht="15" hidden="false" customHeight="false" outlineLevel="0" collapsed="false">
      <c r="A26" s="18" t="s">
        <v>45</v>
      </c>
      <c r="B26" s="6"/>
    </row>
    <row r="27" customFormat="false" ht="15" hidden="false" customHeight="false" outlineLevel="0" collapsed="false">
      <c r="A27" s="6" t="s">
        <v>46</v>
      </c>
      <c r="B27" s="1" t="n">
        <v>591.76</v>
      </c>
    </row>
    <row r="28" customFormat="false" ht="15" hidden="false" customHeight="false" outlineLevel="0" collapsed="false">
      <c r="A28" s="6" t="s">
        <v>47</v>
      </c>
      <c r="B28" s="1" t="n">
        <v>0</v>
      </c>
    </row>
    <row r="29" customFormat="false" ht="15" hidden="false" customHeight="false" outlineLevel="0" collapsed="false">
      <c r="A29" s="6"/>
      <c r="B29" s="6"/>
    </row>
    <row r="30" customFormat="false" ht="15" hidden="false" customHeight="false" outlineLevel="0" collapsed="false">
      <c r="A30" s="18" t="s">
        <v>21</v>
      </c>
      <c r="B30" s="6"/>
    </row>
    <row r="31" customFormat="false" ht="15" hidden="false" customHeight="false" outlineLevel="0" collapsed="false">
      <c r="A31" s="18"/>
      <c r="B31" s="6"/>
    </row>
    <row r="32" customFormat="false" ht="15" hidden="false" customHeight="false" outlineLevel="0" collapsed="false">
      <c r="A32" s="6" t="s">
        <v>22</v>
      </c>
      <c r="B32" s="1" t="n">
        <v>233.15</v>
      </c>
    </row>
    <row r="33" customFormat="false" ht="15" hidden="false" customHeight="false" outlineLevel="0" collapsed="false">
      <c r="A33" s="6" t="s">
        <v>23</v>
      </c>
      <c r="B33" s="1" t="n">
        <v>0</v>
      </c>
    </row>
    <row r="34" customFormat="false" ht="15" hidden="false" customHeight="false" outlineLevel="0" collapsed="false">
      <c r="A34" s="6"/>
      <c r="B34" s="6"/>
    </row>
    <row r="35" customFormat="false" ht="15" hidden="false" customHeight="false" outlineLevel="0" collapsed="false">
      <c r="A35" s="18" t="s">
        <v>24</v>
      </c>
      <c r="B35" s="6"/>
    </row>
    <row r="36" customFormat="false" ht="15" hidden="false" customHeight="false" outlineLevel="0" collapsed="false">
      <c r="A36" s="6" t="s">
        <v>25</v>
      </c>
      <c r="B36" s="1" t="n">
        <v>0</v>
      </c>
    </row>
    <row r="37" customFormat="false" ht="15" hidden="false" customHeight="false" outlineLevel="0" collapsed="false">
      <c r="A37" s="6" t="s">
        <v>26</v>
      </c>
      <c r="B37" s="1" t="n">
        <v>11338.24</v>
      </c>
    </row>
    <row r="38" customFormat="false" ht="15" hidden="false" customHeight="false" outlineLevel="0" collapsed="false">
      <c r="A38" s="6" t="s">
        <v>27</v>
      </c>
      <c r="B38" s="1" t="n">
        <v>11330.57</v>
      </c>
    </row>
    <row r="39" customFormat="false" ht="15" hidden="false" customHeight="false" outlineLevel="0" collapsed="false">
      <c r="A39" s="6"/>
      <c r="B39" s="6"/>
    </row>
    <row r="40" customFormat="false" ht="15" hidden="false" customHeight="false" outlineLevel="0" collapsed="false">
      <c r="A40" s="6"/>
      <c r="B40" s="7" t="n">
        <v>7.67000000000189</v>
      </c>
    </row>
    <row r="41" customFormat="false" ht="15" hidden="false" customHeight="false" outlineLevel="0" collapsed="false">
      <c r="A41" s="6"/>
    </row>
    <row r="42" customFormat="false" ht="15" hidden="false" customHeight="false" outlineLevel="0" collapsed="false">
      <c r="A42" s="6"/>
      <c r="B42" s="6" t="n">
        <v>200</v>
      </c>
    </row>
    <row r="43" customFormat="false" ht="15" hidden="false" customHeight="false" outlineLevel="0" collapsed="false">
      <c r="B43" s="1" t="s">
        <v>29</v>
      </c>
    </row>
  </sheetData>
  <conditionalFormatting sqref="B1:B42">
    <cfRule type="expression" priority="2" aboveAverage="0" equalAverage="0" bottom="0" percent="0" rank="0" text="" dxfId="1">
      <formula>B$1=TODAY()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R42"/>
  <sheetViews>
    <sheetView showFormulas="false" showGridLines="true" showRowColHeaders="true" showZeros="true" rightToLeft="false" tabSelected="false" showOutlineSymbols="true" defaultGridColor="true" view="normal" topLeftCell="B1" colorId="64" zoomScale="90" zoomScaleNormal="90" zoomScalePageLayoutView="100" workbookViewId="0">
      <selection pane="topLeft" activeCell="C2" activeCellId="0" sqref="C2"/>
    </sheetView>
  </sheetViews>
  <sheetFormatPr defaultColWidth="8.6796875" defaultRowHeight="15" zeroHeight="false" outlineLevelRow="0" outlineLevelCol="0"/>
  <cols>
    <col collapsed="false" customWidth="true" hidden="true" outlineLevel="0" max="1" min="1" style="8" width="39.29"/>
    <col collapsed="false" customWidth="true" hidden="false" outlineLevel="0" max="2" min="2" style="1" width="17.57"/>
    <col collapsed="false" customWidth="true" hidden="false" outlineLevel="0" max="4" min="4" style="8" width="9.57"/>
  </cols>
  <sheetData>
    <row r="1" s="13" customFormat="true" ht="30" hidden="false" customHeight="true" outlineLevel="0" collapsed="false">
      <c r="A1" s="9" t="s">
        <v>30</v>
      </c>
      <c r="B1" s="2" t="n">
        <f aca="true">TODAY()</f>
        <v>46186</v>
      </c>
      <c r="C1" s="10" t="s">
        <v>31</v>
      </c>
      <c r="D1" s="11" t="s">
        <v>32</v>
      </c>
      <c r="E1" s="12" t="s">
        <v>33</v>
      </c>
      <c r="F1" s="12" t="s">
        <v>4</v>
      </c>
      <c r="G1" s="12" t="s">
        <v>34</v>
      </c>
      <c r="H1" s="12" t="s">
        <v>35</v>
      </c>
      <c r="I1" s="12" t="s">
        <v>36</v>
      </c>
      <c r="J1" s="12" t="s">
        <v>37</v>
      </c>
      <c r="K1" s="12" t="s">
        <v>5</v>
      </c>
      <c r="L1" s="12" t="s">
        <v>11</v>
      </c>
      <c r="M1" s="12" t="s">
        <v>38</v>
      </c>
      <c r="N1" s="12" t="s">
        <v>39</v>
      </c>
      <c r="O1" s="12" t="s">
        <v>40</v>
      </c>
      <c r="P1" s="12" t="s">
        <v>41</v>
      </c>
      <c r="Q1" s="12" t="s">
        <v>25</v>
      </c>
      <c r="R1" s="12"/>
    </row>
    <row r="2" customFormat="false" ht="15" hidden="false" customHeight="false" outlineLevel="0" collapsed="false">
      <c r="A2" s="14"/>
      <c r="B2" s="3" t="n">
        <f aca="false">B1</f>
        <v>46186</v>
      </c>
      <c r="C2" s="15" t="e">
        <f aca="false">B3</f>
        <v>#N/A</v>
      </c>
      <c r="D2" s="15" t="e">
        <f aca="false">B4</f>
        <v>#N/A</v>
      </c>
      <c r="F2" s="16" t="e">
        <f aca="false">B6</f>
        <v>#N/A</v>
      </c>
      <c r="G2" s="16" t="e">
        <f aca="false">B10</f>
        <v>#N/A</v>
      </c>
      <c r="H2" s="16" t="e">
        <f aca="false">B11</f>
        <v>#N/A</v>
      </c>
      <c r="I2" s="16" t="e">
        <f aca="false">B12</f>
        <v>#N/A</v>
      </c>
      <c r="J2" s="16" t="e">
        <f aca="false">B13</f>
        <v>#N/A</v>
      </c>
      <c r="K2" s="16" t="e">
        <f aca="false">B7</f>
        <v>#N/A</v>
      </c>
      <c r="L2" s="17" t="e">
        <f aca="false">B24</f>
        <v>#N/A</v>
      </c>
      <c r="M2" s="16" t="e">
        <f aca="false">B27</f>
        <v>#N/A</v>
      </c>
      <c r="N2" s="16" t="e">
        <f aca="false">B28</f>
        <v>#N/A</v>
      </c>
      <c r="O2" s="16" t="e">
        <f aca="false">B32</f>
        <v>#N/A</v>
      </c>
      <c r="P2" s="16" t="e">
        <f aca="false">B33</f>
        <v>#N/A</v>
      </c>
      <c r="Q2" s="16" t="e">
        <f aca="false">B36</f>
        <v>#N/A</v>
      </c>
    </row>
    <row r="3" customFormat="false" ht="15" hidden="false" customHeight="false" outlineLevel="0" collapsed="false">
      <c r="A3" s="4" t="s">
        <v>1</v>
      </c>
      <c r="B3" s="4" t="e">
        <f aca="false">HLOOKUP($B$1,vendas!$1:$40,3,FALSE())</f>
        <v>#N/A</v>
      </c>
    </row>
    <row r="4" customFormat="false" ht="15" hidden="false" customHeight="false" outlineLevel="0" collapsed="false">
      <c r="A4" s="4" t="s">
        <v>2</v>
      </c>
      <c r="B4" s="4" t="e">
        <f aca="false">HLOOKUP($B$1,vendas!$1:$40,4,FALSE())</f>
        <v>#N/A</v>
      </c>
    </row>
    <row r="5" customFormat="false" ht="15" hidden="false" customHeight="false" outlineLevel="0" collapsed="false">
      <c r="A5" s="6"/>
      <c r="B5" s="8" t="e">
        <f aca="false">HLOOKUP($B$1,vendas!$1:$40,5,FALSE())</f>
        <v>#N/A</v>
      </c>
    </row>
    <row r="6" customFormat="false" ht="15" hidden="false" customHeight="false" outlineLevel="0" collapsed="false">
      <c r="A6" s="18" t="s">
        <v>4</v>
      </c>
      <c r="B6" s="1" t="e">
        <f aca="false">HLOOKUP($B$1,vendas!$1:$40,6,FALSE())</f>
        <v>#N/A</v>
      </c>
    </row>
    <row r="7" customFormat="false" ht="15" hidden="false" customHeight="false" outlineLevel="0" collapsed="false">
      <c r="A7" s="18" t="s">
        <v>5</v>
      </c>
      <c r="B7" s="1" t="e">
        <f aca="false">HLOOKUP($B$1,vendas!$1:$40,7,FALSE())</f>
        <v>#N/A</v>
      </c>
    </row>
    <row r="8" customFormat="false" ht="15" hidden="false" customHeight="false" outlineLevel="0" collapsed="false">
      <c r="A8" s="18"/>
      <c r="B8" s="6"/>
    </row>
    <row r="9" customFormat="false" ht="15" hidden="false" customHeight="false" outlineLevel="0" collapsed="false">
      <c r="A9" s="18"/>
      <c r="B9" s="6"/>
    </row>
    <row r="10" customFormat="false" ht="15" hidden="false" customHeight="false" outlineLevel="0" collapsed="false">
      <c r="A10" s="6" t="s">
        <v>42</v>
      </c>
      <c r="B10" s="1" t="e">
        <f aca="false">HLOOKUP($B$1,vendas!$1:$40,10,FALSE())</f>
        <v>#N/A</v>
      </c>
    </row>
    <row r="11" customFormat="false" ht="15" hidden="false" customHeight="false" outlineLevel="0" collapsed="false">
      <c r="A11" s="6" t="s">
        <v>43</v>
      </c>
      <c r="B11" s="1" t="e">
        <f aca="false">HLOOKUP($B$1,vendas!$1:$40,11,FALSE())</f>
        <v>#N/A</v>
      </c>
    </row>
    <row r="12" customFormat="false" ht="15" hidden="false" customHeight="false" outlineLevel="0" collapsed="false">
      <c r="A12" s="6" t="s">
        <v>9</v>
      </c>
      <c r="B12" s="1" t="e">
        <f aca="false">HLOOKUP($B$1,vendas!$1:$40,12,FALSE())</f>
        <v>#N/A</v>
      </c>
    </row>
    <row r="13" customFormat="false" ht="15" hidden="false" customHeight="false" outlineLevel="0" collapsed="false">
      <c r="A13" s="6" t="s">
        <v>10</v>
      </c>
      <c r="B13" s="1" t="e">
        <f aca="false">HLOOKUP($B$1,vendas!$1:$40,13,FALSE())</f>
        <v>#N/A</v>
      </c>
    </row>
    <row r="14" customFormat="false" ht="15" hidden="false" customHeight="false" outlineLevel="0" collapsed="false">
      <c r="A14" s="6"/>
      <c r="B14" s="6" t="e">
        <f aca="false">HLOOKUP($B$1,vendas!$1:$40,14,FALSE())</f>
        <v>#N/A</v>
      </c>
    </row>
    <row r="15" customFormat="false" ht="15" hidden="false" customHeight="false" outlineLevel="0" collapsed="false">
      <c r="A15" s="18"/>
      <c r="B15" s="6"/>
    </row>
    <row r="16" customFormat="false" ht="15" hidden="false" customHeight="false" outlineLevel="0" collapsed="false">
      <c r="A16" s="18"/>
      <c r="B16" s="6"/>
    </row>
    <row r="17" customFormat="false" ht="15" hidden="false" customHeight="false" outlineLevel="0" collapsed="false">
      <c r="A17" s="18"/>
      <c r="B17" s="6"/>
    </row>
    <row r="18" customFormat="false" ht="15" hidden="false" customHeight="false" outlineLevel="0" collapsed="false">
      <c r="A18" s="18"/>
      <c r="B18" s="6"/>
    </row>
    <row r="19" customFormat="false" ht="15" hidden="false" customHeight="false" outlineLevel="0" collapsed="false">
      <c r="A19" s="6" t="s">
        <v>12</v>
      </c>
      <c r="B19" s="1" t="e">
        <f aca="false">HLOOKUP($B$1,vendas!$1:$40,19,FALSE())</f>
        <v>#N/A</v>
      </c>
    </row>
    <row r="20" customFormat="false" ht="15" hidden="false" customHeight="false" outlineLevel="0" collapsed="false">
      <c r="A20" s="6" t="s">
        <v>13</v>
      </c>
      <c r="B20" s="1" t="e">
        <f aca="false">HLOOKUP($B$1,vendas!$1:$40,20,FALSE())</f>
        <v>#N/A</v>
      </c>
    </row>
    <row r="21" customFormat="false" ht="15" hidden="false" customHeight="false" outlineLevel="0" collapsed="false">
      <c r="A21" s="6" t="s">
        <v>14</v>
      </c>
      <c r="B21" s="1" t="e">
        <f aca="false">HLOOKUP($B$1,vendas!$1:$40,21,FALSE())</f>
        <v>#N/A</v>
      </c>
    </row>
    <row r="22" customFormat="false" ht="15" hidden="false" customHeight="false" outlineLevel="0" collapsed="false">
      <c r="A22" s="6" t="s">
        <v>44</v>
      </c>
      <c r="B22" s="1" t="e">
        <f aca="false">HLOOKUP($B$1,vendas!$1:$40,22,FALSE())</f>
        <v>#N/A</v>
      </c>
    </row>
    <row r="23" customFormat="false" ht="15" hidden="false" customHeight="false" outlineLevel="0" collapsed="false">
      <c r="A23" s="6" t="s">
        <v>16</v>
      </c>
      <c r="B23" s="1" t="e">
        <f aca="false">HLOOKUP($B$1,vendas!$1:$40,23,FALSE())</f>
        <v>#N/A</v>
      </c>
    </row>
    <row r="24" customFormat="false" ht="15" hidden="false" customHeight="false" outlineLevel="0" collapsed="false">
      <c r="A24" s="19" t="s">
        <v>17</v>
      </c>
      <c r="B24" s="1" t="e">
        <f aca="false">HLOOKUP($B$1,vendas!$1:$40,24,FALSE())</f>
        <v>#N/A</v>
      </c>
    </row>
    <row r="25" customFormat="false" ht="15" hidden="false" customHeight="false" outlineLevel="0" collapsed="false">
      <c r="A25" s="19"/>
      <c r="B25" s="6"/>
    </row>
    <row r="26" customFormat="false" ht="15" hidden="false" customHeight="false" outlineLevel="0" collapsed="false">
      <c r="A26" s="18"/>
      <c r="B26" s="6"/>
    </row>
    <row r="27" customFormat="false" ht="15" hidden="false" customHeight="false" outlineLevel="0" collapsed="false">
      <c r="A27" s="6" t="s">
        <v>46</v>
      </c>
      <c r="B27" s="1" t="e">
        <f aca="false">HLOOKUP($B$1,vendas!$1:$40,27,FALSE())</f>
        <v>#N/A</v>
      </c>
    </row>
    <row r="28" customFormat="false" ht="15" hidden="false" customHeight="false" outlineLevel="0" collapsed="false">
      <c r="A28" s="6" t="s">
        <v>47</v>
      </c>
      <c r="B28" s="1" t="e">
        <f aca="false">HLOOKUP($B$1,vendas!$1:$40,28,FALSE())</f>
        <v>#N/A</v>
      </c>
    </row>
    <row r="29" customFormat="false" ht="15" hidden="false" customHeight="false" outlineLevel="0" collapsed="false">
      <c r="A29" s="6"/>
      <c r="B29" s="6"/>
    </row>
    <row r="30" customFormat="false" ht="15" hidden="false" customHeight="false" outlineLevel="0" collapsed="false">
      <c r="A30" s="18"/>
      <c r="B30" s="6"/>
    </row>
    <row r="31" customFormat="false" ht="15" hidden="false" customHeight="false" outlineLevel="0" collapsed="false">
      <c r="A31" s="18"/>
      <c r="B31" s="6"/>
    </row>
    <row r="32" customFormat="false" ht="15" hidden="false" customHeight="false" outlineLevel="0" collapsed="false">
      <c r="A32" s="6" t="s">
        <v>22</v>
      </c>
      <c r="B32" s="1" t="e">
        <f aca="false">HLOOKUP($B$1,vendas!$1:$40,32,FALSE())</f>
        <v>#N/A</v>
      </c>
    </row>
    <row r="33" customFormat="false" ht="15" hidden="false" customHeight="false" outlineLevel="0" collapsed="false">
      <c r="A33" s="6" t="s">
        <v>23</v>
      </c>
      <c r="B33" s="1" t="e">
        <f aca="false">HLOOKUP($B$1,vendas!$1:$40,33,FALSE())</f>
        <v>#N/A</v>
      </c>
    </row>
    <row r="34" customFormat="false" ht="15" hidden="false" customHeight="false" outlineLevel="0" collapsed="false">
      <c r="A34" s="6"/>
      <c r="B34" s="6"/>
    </row>
    <row r="35" customFormat="false" ht="15" hidden="false" customHeight="false" outlineLevel="0" collapsed="false">
      <c r="A35" s="18"/>
      <c r="B35" s="6"/>
    </row>
    <row r="36" customFormat="false" ht="15" hidden="false" customHeight="false" outlineLevel="0" collapsed="false">
      <c r="A36" s="6" t="s">
        <v>25</v>
      </c>
      <c r="B36" s="1" t="e">
        <f aca="false">HLOOKUP($B$1,vendas!$1:$40,36,FALSE())</f>
        <v>#N/A</v>
      </c>
    </row>
    <row r="37" customFormat="false" ht="15" hidden="false" customHeight="false" outlineLevel="0" collapsed="false">
      <c r="A37" s="6" t="s">
        <v>26</v>
      </c>
      <c r="B37" s="1" t="e">
        <f aca="false">HLOOKUP($B$1,vendas!$1:$40,37,FALSE())</f>
        <v>#N/A</v>
      </c>
    </row>
    <row r="38" customFormat="false" ht="15" hidden="false" customHeight="false" outlineLevel="0" collapsed="false">
      <c r="A38" s="6" t="s">
        <v>27</v>
      </c>
      <c r="B38" s="1" t="e">
        <f aca="false">HLOOKUP($B$1,vendas!$1:$40,38,FALSE())</f>
        <v>#N/A</v>
      </c>
    </row>
    <row r="39" customFormat="false" ht="15" hidden="false" customHeight="false" outlineLevel="0" collapsed="false">
      <c r="A39" s="6"/>
      <c r="B39" s="6"/>
    </row>
    <row r="40" customFormat="false" ht="15" hidden="false" customHeight="false" outlineLevel="0" collapsed="false">
      <c r="A40" s="6"/>
      <c r="B40" s="7" t="e">
        <f aca="false">HLOOKUP($B$1,vendas!$1:$40,40,FALSE())</f>
        <v>#N/A</v>
      </c>
    </row>
    <row r="41" customFormat="false" ht="15" hidden="false" customHeight="false" outlineLevel="0" collapsed="false">
      <c r="A41" s="6"/>
      <c r="B41" s="6"/>
    </row>
    <row r="42" customFormat="false" ht="15" hidden="false" customHeight="false" outlineLevel="0" collapsed="false">
      <c r="A42" s="6"/>
      <c r="B42" s="6"/>
    </row>
  </sheetData>
  <conditionalFormatting sqref="B40">
    <cfRule type="expression" priority="2" aboveAverage="0" equalAverage="0" bottom="0" percent="0" rank="0" text="" dxfId="2">
      <formula>B40&lt;0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LibreOffice/7.4.7.2$Linux_x86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2014-06-02T19:40:07Z</dcterms:created>
  <dc:creator>Paulo</dc:creator>
  <dc:description/>
  <dc:language>pt-BR</dc:language>
  <cp:lastModifiedBy/>
  <cp:lastPrinted>2019-12-26T18:53:00Z</cp:lastPrinted>
  <dcterms:modified xsi:type="dcterms:W3CDTF">2026-06-13T15:12:02Z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